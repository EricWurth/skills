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1" hidden="1">'Tracker'!$A$1:$Y$1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4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Job Search Tracker</t>
        </is>
      </c>
      <c r="B1" s="2" t="n"/>
    </row>
    <row r="2">
      <c r="A2" s="3" t="n"/>
      <c r="B2" s="3" t="inlineStr">
        <is>
          <t>One row per job on the Tracker sheet. This sheet is the manual; delete it once you know the system.</t>
        </is>
      </c>
    </row>
    <row r="3">
      <c r="A3" s="3" t="n"/>
      <c r="B3" s="3" t="n"/>
    </row>
    <row r="4">
      <c r="A4" s="3" t="inlineStr">
        <is>
          <t>Fill in</t>
        </is>
      </c>
      <c r="B4" s="3" t="inlineStr">
        <is>
          <t>Everything on the Tracker sheet is yours to edit. Dropdowns: status, effort, packetComplete, colAdjusted. The example row shows expected formats - overwrite it with your first real find.</t>
        </is>
      </c>
    </row>
    <row r="5">
      <c r="A5" s="3" t="inlineStr">
        <is>
          <t>Dashboard</t>
        </is>
      </c>
      <c r="B5" s="3" t="inlineStr">
        <is>
          <t>The Dashboard sheet computes itself (live formulas). Don't type over it.</t>
        </is>
      </c>
    </row>
    <row r="6">
      <c r="A6" s="3" t="n"/>
      <c r="B6" s="3" t="n"/>
    </row>
    <row r="7">
      <c r="A7" s="3" t="inlineStr">
        <is>
          <t>Rule 1</t>
        </is>
      </c>
      <c r="B7" s="3" t="inlineStr">
        <is>
          <t>This file is the ONLY home for job-search state. No side lists.</t>
        </is>
      </c>
    </row>
    <row r="8">
      <c r="A8" s="3" t="inlineStr">
        <is>
          <t>Rule 2</t>
        </is>
      </c>
      <c r="B8" s="3" t="inlineStr">
        <is>
          <t>matchKey = lowercase company|title. Same job on two boards is ONE row.</t>
        </is>
      </c>
    </row>
    <row r="9">
      <c r="A9" s="3" t="inlineStr">
        <is>
          <t>Rule 3</t>
        </is>
      </c>
      <c r="B9" s="3" t="inlineStr">
        <is>
          <t>status becomes 'ready' only when packetComplete is TRUE and the tailored resume file actually exists.</t>
        </is>
      </c>
    </row>
    <row r="10">
      <c r="A10" s="3" t="inlineStr">
        <is>
          <t>Rule 4</t>
        </is>
      </c>
      <c r="B10" s="3" t="inlineStr">
        <is>
          <t>Automation (resumebot skills) backs this file up to backups/ before every write and only appends or updates named fields.</t>
        </is>
      </c>
    </row>
    <row r="11">
      <c r="A11" s="3" t="inlineStr">
        <is>
          <t>Rule 5</t>
        </is>
      </c>
      <c r="B11" s="3" t="inlineStr">
        <is>
          <t>Status lifecycle: new -&gt; ready -&gt; applied -&gt; interviewing. Exits: rejected / dead / deferred (parked, not rejected).</t>
        </is>
      </c>
    </row>
    <row r="12">
      <c r="A12" s="3" t="n"/>
      <c r="B12" s="3" t="n"/>
    </row>
    <row r="13">
      <c r="A13" s="4" t="inlineStr">
        <is>
          <t>Columns</t>
        </is>
      </c>
      <c r="B13" s="5" t="n"/>
    </row>
    <row r="14">
      <c r="A14" s="6" t="inlineStr">
        <is>
          <t>id</t>
        </is>
      </c>
      <c r="B14" s="3" t="inlineStr">
        <is>
          <t>kebab-case slug: company-short-title</t>
        </is>
      </c>
    </row>
    <row r="15">
      <c r="A15" s="6" t="inlineStr">
        <is>
          <t>company</t>
        </is>
      </c>
      <c r="B15" s="3" t="inlineStr">
        <is>
          <t>real employer (never the aggregator/agency)</t>
        </is>
      </c>
    </row>
    <row r="16">
      <c r="A16" s="6" t="inlineStr">
        <is>
          <t>title</t>
        </is>
      </c>
      <c r="B16" s="3" t="inlineStr">
        <is>
          <t>posted title</t>
        </is>
      </c>
    </row>
    <row r="17">
      <c r="A17" s="6" t="inlineStr">
        <is>
          <t>status</t>
        </is>
      </c>
      <c r="B17" s="3" t="inlineStr">
        <is>
          <t>new / ready / applied / interviewing / rejected / dead / deferred</t>
        </is>
      </c>
    </row>
    <row r="18">
      <c r="A18" s="6" t="inlineStr">
        <is>
          <t>fit</t>
        </is>
      </c>
      <c r="B18" s="3" t="inlineStr">
        <is>
          <t>1-5 score vs Profile/match-profile.md</t>
        </is>
      </c>
    </row>
    <row r="19">
      <c r="A19" s="6" t="inlineStr">
        <is>
          <t>level</t>
        </is>
      </c>
      <c r="B19" s="3" t="inlineStr">
        <is>
          <t>seniority read (judge by years-required, not title)</t>
        </is>
      </c>
    </row>
    <row r="20">
      <c r="A20" s="6" t="inlineStr">
        <is>
          <t>effort</t>
        </is>
      </c>
      <c r="B20" s="3" t="inlineStr">
        <is>
          <t>High / Med / Low-Med / Low prep tier</t>
        </is>
      </c>
    </row>
    <row r="21">
      <c r="A21" s="6" t="inlineStr">
        <is>
          <t>variant</t>
        </is>
      </c>
      <c r="B21" s="3" t="inlineStr">
        <is>
          <t>standing resume variant this role maps to</t>
        </is>
      </c>
    </row>
    <row r="22">
      <c r="A22" s="6" t="inlineStr">
        <is>
          <t>comp</t>
        </is>
      </c>
      <c r="B22" s="3" t="inlineStr">
        <is>
          <t>disclosed or estimated range</t>
        </is>
      </c>
    </row>
    <row r="23">
      <c r="A23" s="6" t="inlineStr">
        <is>
          <t>compSource</t>
        </is>
      </c>
      <c r="B23" s="3" t="inlineStr">
        <is>
          <t>posting / estimate / salary site</t>
        </is>
      </c>
    </row>
    <row r="24">
      <c r="A24" s="6" t="inlineStr">
        <is>
          <t>location</t>
        </is>
      </c>
      <c r="B24" s="3" t="inlineStr">
        <is>
          <t>as posted</t>
        </is>
      </c>
    </row>
    <row r="25">
      <c r="A25" s="6" t="inlineStr">
        <is>
          <t>moveType</t>
        </is>
      </c>
      <c r="B25" s="3" t="inlineStr">
        <is>
          <t>remote / local / relocation (+ exception tags)</t>
        </is>
      </c>
    </row>
    <row r="26">
      <c r="A26" s="6" t="inlineStr">
        <is>
          <t>sector</t>
        </is>
      </c>
      <c r="B26" s="3" t="inlineStr">
        <is>
          <t>industry</t>
        </is>
      </c>
    </row>
    <row r="27">
      <c r="A27" s="6" t="inlineStr">
        <is>
          <t>found</t>
        </is>
      </c>
      <c r="B27" s="3" t="inlineStr">
        <is>
          <t>date first seen YYYY-MM-DD</t>
        </is>
      </c>
    </row>
    <row r="28">
      <c r="A28" s="6" t="inlineStr">
        <is>
          <t>board</t>
        </is>
      </c>
      <c r="B28" s="3" t="inlineStr">
        <is>
          <t>where found, incl. the search that surfaced it</t>
        </is>
      </c>
    </row>
    <row r="29">
      <c r="A29" s="6" t="inlineStr">
        <is>
          <t>url</t>
        </is>
      </c>
      <c r="B29" s="3" t="inlineStr">
        <is>
          <t>posting URL on the board</t>
        </is>
      </c>
    </row>
    <row r="30">
      <c r="A30" s="6" t="inlineStr">
        <is>
          <t>applyUrl</t>
        </is>
      </c>
      <c r="B30" s="3" t="inlineStr">
        <is>
          <t>direct ATS apply URL (strip board redirects)</t>
        </is>
      </c>
    </row>
    <row r="31">
      <c r="A31" s="6" t="inlineStr">
        <is>
          <t>ats</t>
        </is>
      </c>
      <c r="B31" s="3" t="inlineStr">
        <is>
          <t>Workday / Greenhouse / Lever / iCIMS / custom</t>
        </is>
      </c>
    </row>
    <row r="32">
      <c r="A32" s="6" t="inlineStr">
        <is>
          <t>notes</t>
        </is>
      </c>
      <c r="B32" s="3" t="inlineStr">
        <is>
          <t>freeform; automation appends breadcrumbs</t>
        </is>
      </c>
    </row>
    <row r="33">
      <c r="A33" s="6" t="inlineStr">
        <is>
          <t>packetComplete</t>
        </is>
      </c>
      <c r="B33" s="3" t="inlineStr">
        <is>
          <t>TRUE only when the tailored resume file exists</t>
        </is>
      </c>
    </row>
    <row r="34">
      <c r="A34" s="6" t="inlineStr">
        <is>
          <t>queueRank</t>
        </is>
      </c>
      <c r="B34" s="3" t="inlineStr">
        <is>
          <t>apply order, 1 = first</t>
        </is>
      </c>
    </row>
    <row r="35">
      <c r="A35" s="6" t="inlineStr">
        <is>
          <t>matchKey</t>
        </is>
      </c>
      <c r="B35" s="3" t="inlineStr">
        <is>
          <t>lowercased company|title - THE dedupe key</t>
        </is>
      </c>
    </row>
    <row r="36">
      <c r="A36" s="6" t="inlineStr">
        <is>
          <t>fitEvidence</t>
        </is>
      </c>
      <c r="B36" s="3" t="inlineStr">
        <is>
          <t>one line: why the fit score</t>
        </is>
      </c>
    </row>
    <row r="37">
      <c r="A37" s="6" t="inlineStr">
        <is>
          <t>colAdjusted</t>
        </is>
      </c>
      <c r="B37" s="3" t="inlineStr">
        <is>
          <t>TRUE only when this row passed the comp gate via COL adjustment</t>
        </is>
      </c>
    </row>
    <row r="38">
      <c r="A38" s="6" t="inlineStr">
        <is>
          <t>colAdjustedComp</t>
        </is>
      </c>
      <c r="B38" s="3" t="inlineStr">
        <is>
          <t>COL math for this row: nominal, home-equivalent, metro index,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2" customWidth="1" min="3" max="3"/>
    <col width="12" customWidth="1" min="4" max="4"/>
    <col width="6" customWidth="1" min="5" max="5"/>
    <col width="18" customWidth="1" min="6" max="6"/>
    <col width="10" customWidth="1" min="7" max="7"/>
    <col width="16" customWidth="1" min="8" max="8"/>
    <col width="16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22" customWidth="1" min="15" max="15"/>
    <col width="30" customWidth="1" min="16" max="16"/>
    <col width="30" customWidth="1" min="17" max="17"/>
    <col width="14" customWidth="1" min="18" max="18"/>
    <col width="40" customWidth="1" min="19" max="19"/>
    <col width="14" customWidth="1" min="20" max="20"/>
    <col width="10" customWidth="1" min="21" max="21"/>
    <col width="30" customWidth="1" min="22" max="22"/>
    <col width="40" customWidth="1" min="23" max="23"/>
    <col width="14" customWidth="1" min="24" max="24"/>
    <col width="40" customWidth="1" min="25" max="25"/>
  </cols>
  <sheetData>
    <row r="1">
      <c r="A1" s="7" t="inlineStr">
        <is>
          <t>id</t>
        </is>
      </c>
      <c r="B1" s="7" t="inlineStr">
        <is>
          <t>company</t>
        </is>
      </c>
      <c r="C1" s="7" t="inlineStr">
        <is>
          <t>title</t>
        </is>
      </c>
      <c r="D1" s="7" t="inlineStr">
        <is>
          <t>status</t>
        </is>
      </c>
      <c r="E1" s="7" t="inlineStr">
        <is>
          <t>fit</t>
        </is>
      </c>
      <c r="F1" s="7" t="inlineStr">
        <is>
          <t>level</t>
        </is>
      </c>
      <c r="G1" s="7" t="inlineStr">
        <is>
          <t>effort</t>
        </is>
      </c>
      <c r="H1" s="7" t="inlineStr">
        <is>
          <t>variant</t>
        </is>
      </c>
      <c r="I1" s="7" t="inlineStr">
        <is>
          <t>comp</t>
        </is>
      </c>
      <c r="J1" s="7" t="inlineStr">
        <is>
          <t>compSource</t>
        </is>
      </c>
      <c r="K1" s="7" t="inlineStr">
        <is>
          <t>location</t>
        </is>
      </c>
      <c r="L1" s="7" t="inlineStr">
        <is>
          <t>moveType</t>
        </is>
      </c>
      <c r="M1" s="7" t="inlineStr">
        <is>
          <t>sector</t>
        </is>
      </c>
      <c r="N1" s="7" t="inlineStr">
        <is>
          <t>found</t>
        </is>
      </c>
      <c r="O1" s="7" t="inlineStr">
        <is>
          <t>board</t>
        </is>
      </c>
      <c r="P1" s="7" t="inlineStr">
        <is>
          <t>url</t>
        </is>
      </c>
      <c r="Q1" s="7" t="inlineStr">
        <is>
          <t>applyUrl</t>
        </is>
      </c>
      <c r="R1" s="7" t="inlineStr">
        <is>
          <t>ats</t>
        </is>
      </c>
      <c r="S1" s="7" t="inlineStr">
        <is>
          <t>notes</t>
        </is>
      </c>
      <c r="T1" s="7" t="inlineStr">
        <is>
          <t>packetComplete</t>
        </is>
      </c>
      <c r="U1" s="7" t="inlineStr">
        <is>
          <t>queueRank</t>
        </is>
      </c>
      <c r="V1" s="7" t="inlineStr">
        <is>
          <t>matchKey</t>
        </is>
      </c>
      <c r="W1" s="7" t="inlineStr">
        <is>
          <t>fitEvidence</t>
        </is>
      </c>
      <c r="X1" s="7" t="inlineStr">
        <is>
          <t>colAdjusted</t>
        </is>
      </c>
      <c r="Y1" s="7" t="inlineStr">
        <is>
          <t>colAdjustedComp</t>
        </is>
      </c>
    </row>
    <row r="2">
      <c r="A2" s="8" t="inlineStr">
        <is>
          <t>acme-distribution-senior-ops-manager</t>
        </is>
      </c>
      <c r="B2" s="8" t="inlineStr">
        <is>
          <t>Acme Distribution (example)</t>
        </is>
      </c>
      <c r="C2" s="8" t="inlineStr">
        <is>
          <t>Senior Manager, Distribution Operations</t>
        </is>
      </c>
      <c r="D2" s="8" t="inlineStr">
        <is>
          <t>new</t>
        </is>
      </c>
      <c r="E2" s="8" t="n">
        <v>4</v>
      </c>
      <c r="F2" s="8" t="inlineStr">
        <is>
          <t>Senior Manager (8+ yrs required)</t>
        </is>
      </c>
      <c r="G2" s="8" t="inlineStr">
        <is>
          <t>Med</t>
        </is>
      </c>
      <c r="H2" s="8" t="inlineStr">
        <is>
          <t>Operations_Leader</t>
        </is>
      </c>
      <c r="I2" s="8" t="inlineStr">
        <is>
          <t>$115K-$140K</t>
        </is>
      </c>
      <c r="J2" s="8" t="inlineStr">
        <is>
          <t>posting</t>
        </is>
      </c>
      <c r="K2" s="8" t="inlineStr">
        <is>
          <t>Columbus, OH (hybrid)</t>
        </is>
      </c>
      <c r="L2" s="8" t="inlineStr">
        <is>
          <t>local</t>
        </is>
      </c>
      <c r="M2" s="8" t="inlineStr">
        <is>
          <t>logistics</t>
        </is>
      </c>
      <c r="N2" s="8" t="inlineStr">
        <is>
          <t>2026-01-15</t>
        </is>
      </c>
      <c r="O2" s="8" t="inlineStr">
        <is>
          <t>LinkedIn (keyword: distribution operations)</t>
        </is>
      </c>
      <c r="P2" s="8" t="inlineStr">
        <is>
          <t>https://example.com/job/123</t>
        </is>
      </c>
      <c r="Q2" s="8" t="inlineStr">
        <is>
          <t>https://careers.example.com/job/123</t>
        </is>
      </c>
      <c r="R2" s="8" t="inlineStr">
        <is>
          <t>Workday</t>
        </is>
      </c>
      <c r="S2" s="8" t="inlineStr">
        <is>
          <t>Example row - replace with real finds</t>
        </is>
      </c>
      <c r="T2" s="8" t="b">
        <v>0</v>
      </c>
      <c r="U2" s="8" t="n">
        <v>1</v>
      </c>
      <c r="V2" s="8" t="inlineStr">
        <is>
          <t>acme distribution (example)|senior manager, distribution operations</t>
        </is>
      </c>
      <c r="W2" s="8" t="inlineStr">
        <is>
          <t>Core WMS + team-size match; comp floor clears</t>
        </is>
      </c>
      <c r="X2" s="8" t="b">
        <v>0</v>
      </c>
      <c r="Y2" s="8" t="inlineStr"/>
    </row>
  </sheetData>
  <autoFilter ref="A1:Y1"/>
  <dataValidations count="3">
    <dataValidation sqref="D2:D2000" showDropDown="0" showInputMessage="0" showErrorMessage="0" allowBlank="1" type="list">
      <formula1>"new,ready,applied,interviewing,rejected,dead,deferred"</formula1>
    </dataValidation>
    <dataValidation sqref="G2:G2000" showDropDown="0" showInputMessage="0" showErrorMessage="0" allowBlank="1" type="list">
      <formula1>"High,Med,Low-Med,Low"</formula1>
    </dataValidation>
    <dataValidation sqref="T2:T2000 X2:X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9" t="inlineStr">
        <is>
          <t>Pipeline Dashboard</t>
        </is>
      </c>
    </row>
    <row r="2">
      <c r="A2" s="8" t="inlineStr">
        <is>
          <t>Live formulas over the Tracker sheet - do not type here.</t>
        </is>
      </c>
    </row>
    <row r="4">
      <c r="A4" s="3" t="inlineStr">
        <is>
          <t>new</t>
        </is>
      </c>
      <c r="B4" s="3">
        <f>COUNTIF(Tracker!$D$2:$D$2000,"new")</f>
        <v/>
      </c>
    </row>
    <row r="5">
      <c r="A5" s="6" t="inlineStr">
        <is>
          <t>ready</t>
        </is>
      </c>
      <c r="B5" s="3">
        <f>COUNTIF(Tracker!$D$2:$D$2000,"ready")</f>
        <v/>
      </c>
    </row>
    <row r="6">
      <c r="A6" s="3" t="inlineStr">
        <is>
          <t>applied</t>
        </is>
      </c>
      <c r="B6" s="3">
        <f>COUNTIF(Tracker!$D$2:$D$2000,"applied")</f>
        <v/>
      </c>
    </row>
    <row r="7">
      <c r="A7" s="6" t="inlineStr">
        <is>
          <t>interviewing</t>
        </is>
      </c>
      <c r="B7" s="3">
        <f>COUNTIF(Tracker!$D$2:$D$2000,"interviewing")</f>
        <v/>
      </c>
    </row>
    <row r="8">
      <c r="A8" s="3" t="inlineStr">
        <is>
          <t>rejected</t>
        </is>
      </c>
      <c r="B8" s="3">
        <f>COUNTIF(Tracker!$D$2:$D$2000,"rejected")</f>
        <v/>
      </c>
    </row>
    <row r="9">
      <c r="A9" s="3" t="inlineStr">
        <is>
          <t>dead</t>
        </is>
      </c>
      <c r="B9" s="3">
        <f>COUNTIF(Tracker!$D$2:$D$2000,"dead")</f>
        <v/>
      </c>
    </row>
    <row r="10">
      <c r="A10" s="3" t="inlineStr">
        <is>
          <t>deferred</t>
        </is>
      </c>
      <c r="B10" s="3">
        <f>COUNTIF(Tracker!$D$2:$D$2000,"deferred")</f>
        <v/>
      </c>
    </row>
    <row r="11">
      <c r="A11" s="6" t="inlineStr">
        <is>
          <t>total tracked</t>
        </is>
      </c>
      <c r="B11" s="3">
        <f>COUNTA(Tracker!$A$2:$A$2000)</f>
        <v/>
      </c>
    </row>
    <row r="13">
      <c r="A13" s="6" t="inlineStr">
        <is>
          <t>scored, packet pending</t>
        </is>
      </c>
      <c r="B13" s="3">
        <f>COUNTIFS(Tracker!$D$2:$D$2000,"new",Tracker!$T$2:$T$2000,FALSE)</f>
        <v/>
      </c>
    </row>
    <row r="14">
      <c r="A14" s="6" t="inlineStr">
        <is>
          <t>ready to apply</t>
        </is>
      </c>
      <c r="B14" s="3">
        <f>COUNTIFS(Tracker!$D$2:$D$2000,"ready",Tracker!$T$2:$T$2000,TRUE)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2026-09-16T21:00:43Z</dcterms:created>
  <dcterms:modified xmlns:dcterms="http://purl.org/dc/terms/" xmlns:xsi="http://www.w3.org/2001/XMLSchema-instance" xsi:type="dcterms:W3CDTF">2026-09-16T21:00:44Z</dcterms:modified>
</cp:coreProperties>
</file>