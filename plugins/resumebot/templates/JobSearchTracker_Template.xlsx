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openintellect\dev\plugin-resumebot\templates\"/>
    </mc:Choice>
  </mc:AlternateContent>
  <xr:revisionPtr revIDLastSave="0" documentId="11_8A39C4EB29FB4846E016A6BC059E0C67A8377CF7" xr6:coauthVersionLast="47" xr6:coauthVersionMax="47" xr10:uidLastSave="{00000000-0000-0000-0000-000000000000}"/>
  <bookViews>
    <workbookView xWindow="4608" yWindow="4608" windowWidth="34560" windowHeight="18600" xr2:uid="{00000000-000D-0000-FFFF-FFFF00000000}"/>
  </bookViews>
  <sheets>
    <sheet name="README" sheetId="1" r:id="rId1"/>
    <sheet name="Tracker" sheetId="2" r:id="rId2"/>
    <sheet name="Dashboard" sheetId="3" r:id="rId3"/>
  </sheets>
  <definedNames>
    <definedName name="_xlnm._FilterDatabase" localSheetId="1" hidden="1">Tracker!$A$1:$W$1</definedName>
  </definedNames>
  <calcPr calcId="181029"/>
</workbook>
</file>

<file path=xl/calcChain.xml><?xml version="1.0" encoding="utf-8"?>
<calcChain xmlns="http://schemas.openxmlformats.org/spreadsheetml/2006/main">
  <c r="B14" i="3" l="1"/>
  <c r="B13" i="3"/>
  <c r="B11" i="3"/>
  <c r="B10" i="3"/>
  <c r="B9" i="3"/>
  <c r="B8" i="3"/>
  <c r="B7" i="3"/>
  <c r="B6" i="3"/>
  <c r="B5" i="3"/>
  <c r="B4" i="3"/>
</calcChain>
</file>

<file path=xl/sharedStrings.xml><?xml version="1.0" encoding="utf-8"?>
<sst xmlns="http://schemas.openxmlformats.org/spreadsheetml/2006/main" count="118" uniqueCount="94">
  <si>
    <t>Job Search Tracker</t>
  </si>
  <si>
    <t>One row per job on the Tracker sheet. This sheet is the manual; delete it once you know the system.</t>
  </si>
  <si>
    <t>Fill in</t>
  </si>
  <si>
    <t>Everything on the Tracker sheet is yours to edit. Dropdowns: status, effort, packetComplete. The example row shows expected formats - overwrite it with your first real find.</t>
  </si>
  <si>
    <t>Dashboard</t>
  </si>
  <si>
    <t>The Dashboard sheet computes itself (live formulas). Don't type over it.</t>
  </si>
  <si>
    <t>Rule 1</t>
  </si>
  <si>
    <t>This file is the ONLY home for job-search state. No side lists.</t>
  </si>
  <si>
    <t>Rule 2</t>
  </si>
  <si>
    <t>matchKey = lowercase company|title. Same job on two boards is ONE row.</t>
  </si>
  <si>
    <t>Rule 3</t>
  </si>
  <si>
    <t>status becomes 'ready' only when packetComplete is TRUE and the tailored resume file actually exists.</t>
  </si>
  <si>
    <t>Rule 4</t>
  </si>
  <si>
    <t>Automation (resumebot skills) backs this file up to backups/ before every write and only appends or updates named fields.</t>
  </si>
  <si>
    <t>Rule 5</t>
  </si>
  <si>
    <t>Status lifecycle: new -&gt; ready -&gt; applied -&gt; interviewing. Exits: rejected / dead / deferred (parked, not rejected).</t>
  </si>
  <si>
    <t>Columns</t>
  </si>
  <si>
    <t>id</t>
  </si>
  <si>
    <t>kebab-case slug: company-short-title</t>
  </si>
  <si>
    <t>company</t>
  </si>
  <si>
    <t>real employer (never the aggregator/agency)</t>
  </si>
  <si>
    <t>title</t>
  </si>
  <si>
    <t>posted title</t>
  </si>
  <si>
    <t>status</t>
  </si>
  <si>
    <t>new / ready / applied / interviewing / rejected / dead / deferred</t>
  </si>
  <si>
    <t>fit</t>
  </si>
  <si>
    <t>1-5 score vs Profile/match-profile.md</t>
  </si>
  <si>
    <t>level</t>
  </si>
  <si>
    <t>seniority read (judge by years-required, not title)</t>
  </si>
  <si>
    <t>effort</t>
  </si>
  <si>
    <t>High / Med / Low-Med / Low prep tier</t>
  </si>
  <si>
    <t>variant</t>
  </si>
  <si>
    <t>standing resume variant this role maps to</t>
  </si>
  <si>
    <t>comp</t>
  </si>
  <si>
    <t>disclosed or estimated range</t>
  </si>
  <si>
    <t>compSource</t>
  </si>
  <si>
    <t>posting / estimate / salary site</t>
  </si>
  <si>
    <t>location</t>
  </si>
  <si>
    <t>as posted</t>
  </si>
  <si>
    <t>moveType</t>
  </si>
  <si>
    <t>remote / local / relocation (+ exception tags)</t>
  </si>
  <si>
    <t>sector</t>
  </si>
  <si>
    <t>industry</t>
  </si>
  <si>
    <t>found</t>
  </si>
  <si>
    <t>date first seen YYYY-MM-DD</t>
  </si>
  <si>
    <t>board</t>
  </si>
  <si>
    <t>where found, incl. the search that surfaced it</t>
  </si>
  <si>
    <t>url</t>
  </si>
  <si>
    <t>posting URL on the board</t>
  </si>
  <si>
    <t>applyUrl</t>
  </si>
  <si>
    <t>direct ATS apply URL (strip board redirects)</t>
  </si>
  <si>
    <t>ats</t>
  </si>
  <si>
    <t>Workday / Greenhouse / Lever / iCIMS / custom</t>
  </si>
  <si>
    <t>notes</t>
  </si>
  <si>
    <t>freeform; automation appends breadcrumbs</t>
  </si>
  <si>
    <t>packetComplete</t>
  </si>
  <si>
    <t>TRUE only when the tailored resume file exists</t>
  </si>
  <si>
    <t>queueRank</t>
  </si>
  <si>
    <t>apply order, 1 = first</t>
  </si>
  <si>
    <t>matchKey</t>
  </si>
  <si>
    <t>lowercased company|title - THE dedupe key</t>
  </si>
  <si>
    <t>fitEvidence</t>
  </si>
  <si>
    <t>one line: why the fit score</t>
  </si>
  <si>
    <t>acme-distribution-senior-ops-manager</t>
  </si>
  <si>
    <t>Acme Distribution (example)</t>
  </si>
  <si>
    <t>Senior Manager, Distribution Operations</t>
  </si>
  <si>
    <t>new</t>
  </si>
  <si>
    <t>Senior Manager (8+ yrs required)</t>
  </si>
  <si>
    <t>Med</t>
  </si>
  <si>
    <t>Operations_Leader</t>
  </si>
  <si>
    <t>$115K-$140K</t>
  </si>
  <si>
    <t>posting</t>
  </si>
  <si>
    <t>Columbus, OH (hybrid)</t>
  </si>
  <si>
    <t>local</t>
  </si>
  <si>
    <t>logistics</t>
  </si>
  <si>
    <t>2026-01-15</t>
  </si>
  <si>
    <t>LinkedIn (keyword: distribution operations)</t>
  </si>
  <si>
    <t>https://example.com/job/123</t>
  </si>
  <si>
    <t>https://careers.example.com/job/123</t>
  </si>
  <si>
    <t>Workday</t>
  </si>
  <si>
    <t>Example row - replace with real finds</t>
  </si>
  <si>
    <t>acme distribution (example)|senior manager, distribution operations</t>
  </si>
  <si>
    <t>Core WMS + team-size match; comp floor clears</t>
  </si>
  <si>
    <t>Pipeline Dashboard</t>
  </si>
  <si>
    <t>Live formulas over the Tracker sheet - do not type here.</t>
  </si>
  <si>
    <t>ready</t>
  </si>
  <si>
    <t>applied</t>
  </si>
  <si>
    <t>interviewing</t>
  </si>
  <si>
    <t>rejected</t>
  </si>
  <si>
    <t>dead</t>
  </si>
  <si>
    <t>deferred</t>
  </si>
  <si>
    <t>total tracked</t>
  </si>
  <si>
    <t>scored, packet pending</t>
  </si>
  <si>
    <t>ready to apply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</si>
</sst>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4"/>
      <name val="Arial"/>
    </font>
    <font>
      <sz val="10"/>
      <name val="Arial"/>
    </font>
    <font>
      <b/>
      <sz val="11"/>
      <name val="Arial"/>
    </font>
    <font>
      <sz val="11"/>
      <name val="Arial"/>
    </font>
    <font>
      <b/>
      <sz val="1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13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vertical="center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6"/>
  <sheetViews>
    <sheetView tabSelected="1" workbookViewId="0"/>
  </sheetViews>
  <sheetFormatPr defaultRowHeight="14.4" x14ac:dyDescent="0.3"/>
  <cols>
    <col min="1" max="1" width="22" customWidth="1"/>
    <col min="2" max="2" width="95" customWidth="1"/>
  </cols>
  <sheetData>
    <row r="1" spans="1:2" ht="17.399999999999999" x14ac:dyDescent="0.3">
      <c r="A1" s="1" t="s">
        <v>0</v>
      </c>
      <c r="B1" s="2"/>
    </row>
    <row r="2" spans="1:2" x14ac:dyDescent="0.3">
      <c r="A2" s="3"/>
      <c r="B2" s="3" t="s">
        <v>1</v>
      </c>
    </row>
    <row r="3" spans="1:2" x14ac:dyDescent="0.3">
      <c r="A3" s="3"/>
      <c r="B3" s="3"/>
    </row>
    <row r="4" spans="1:2" x14ac:dyDescent="0.3">
      <c r="A4" s="3" t="s">
        <v>2</v>
      </c>
      <c r="B4" s="3" t="s">
        <v>3</v>
      </c>
    </row>
    <row r="5" spans="1:2" x14ac:dyDescent="0.3">
      <c r="A5" s="3" t="s">
        <v>4</v>
      </c>
      <c r="B5" s="3" t="s">
        <v>5</v>
      </c>
    </row>
    <row r="6" spans="1:2" x14ac:dyDescent="0.3">
      <c r="A6" s="3"/>
      <c r="B6" s="3"/>
    </row>
    <row r="7" spans="1:2" x14ac:dyDescent="0.3">
      <c r="A7" s="3" t="s">
        <v>6</v>
      </c>
      <c r="B7" s="3" t="s">
        <v>7</v>
      </c>
    </row>
    <row r="8" spans="1:2" x14ac:dyDescent="0.3">
      <c r="A8" s="3" t="s">
        <v>8</v>
      </c>
      <c r="B8" s="3" t="s">
        <v>9</v>
      </c>
    </row>
    <row r="9" spans="1:2" x14ac:dyDescent="0.3">
      <c r="A9" s="3" t="s">
        <v>10</v>
      </c>
      <c r="B9" s="3" t="s">
        <v>11</v>
      </c>
    </row>
    <row r="10" spans="1:2" x14ac:dyDescent="0.3">
      <c r="A10" s="3" t="s">
        <v>12</v>
      </c>
      <c r="B10" s="3" t="s">
        <v>13</v>
      </c>
    </row>
    <row r="11" spans="1:2" x14ac:dyDescent="0.3">
      <c r="A11" s="3" t="s">
        <v>14</v>
      </c>
      <c r="B11" s="3" t="s">
        <v>15</v>
      </c>
    </row>
    <row r="12" spans="1:2" x14ac:dyDescent="0.3">
      <c r="A12" s="3"/>
      <c r="B12" s="3"/>
    </row>
    <row r="13" spans="1:2" x14ac:dyDescent="0.3">
      <c r="A13" s="4" t="s">
        <v>16</v>
      </c>
      <c r="B13" s="5"/>
    </row>
    <row r="14" spans="1:2" x14ac:dyDescent="0.3">
      <c r="A14" s="6" t="s">
        <v>17</v>
      </c>
      <c r="B14" s="3" t="s">
        <v>18</v>
      </c>
    </row>
    <row r="15" spans="1:2" x14ac:dyDescent="0.3">
      <c r="A15" s="6" t="s">
        <v>19</v>
      </c>
      <c r="B15" s="3" t="s">
        <v>20</v>
      </c>
    </row>
    <row r="16" spans="1:2" x14ac:dyDescent="0.3">
      <c r="A16" s="6" t="s">
        <v>21</v>
      </c>
      <c r="B16" s="3" t="s">
        <v>22</v>
      </c>
    </row>
    <row r="17" spans="1:2" x14ac:dyDescent="0.3">
      <c r="A17" s="6" t="s">
        <v>23</v>
      </c>
      <c r="B17" s="3" t="s">
        <v>24</v>
      </c>
    </row>
    <row r="18" spans="1:2" x14ac:dyDescent="0.3">
      <c r="A18" s="6" t="s">
        <v>25</v>
      </c>
      <c r="B18" s="3" t="s">
        <v>26</v>
      </c>
    </row>
    <row r="19" spans="1:2" x14ac:dyDescent="0.3">
      <c r="A19" s="6" t="s">
        <v>27</v>
      </c>
      <c r="B19" s="3" t="s">
        <v>28</v>
      </c>
    </row>
    <row r="20" spans="1:2" x14ac:dyDescent="0.3">
      <c r="A20" s="6" t="s">
        <v>29</v>
      </c>
      <c r="B20" s="3" t="s">
        <v>30</v>
      </c>
    </row>
    <row r="21" spans="1:2" x14ac:dyDescent="0.3">
      <c r="A21" s="6" t="s">
        <v>31</v>
      </c>
      <c r="B21" s="3" t="s">
        <v>32</v>
      </c>
    </row>
    <row r="22" spans="1:2" x14ac:dyDescent="0.3">
      <c r="A22" s="6" t="s">
        <v>33</v>
      </c>
      <c r="B22" s="3" t="s">
        <v>34</v>
      </c>
    </row>
    <row r="23" spans="1:2" x14ac:dyDescent="0.3">
      <c r="A23" s="6" t="s">
        <v>35</v>
      </c>
      <c r="B23" s="3" t="s">
        <v>36</v>
      </c>
    </row>
    <row r="24" spans="1:2" x14ac:dyDescent="0.3">
      <c r="A24" s="6" t="s">
        <v>37</v>
      </c>
      <c r="B24" s="3" t="s">
        <v>38</v>
      </c>
    </row>
    <row r="25" spans="1:2" x14ac:dyDescent="0.3">
      <c r="A25" s="6" t="s">
        <v>39</v>
      </c>
      <c r="B25" s="3" t="s">
        <v>40</v>
      </c>
    </row>
    <row r="26" spans="1:2" x14ac:dyDescent="0.3">
      <c r="A26" s="6" t="s">
        <v>41</v>
      </c>
      <c r="B26" s="3" t="s">
        <v>42</v>
      </c>
    </row>
    <row r="27" spans="1:2" x14ac:dyDescent="0.3">
      <c r="A27" s="6" t="s">
        <v>43</v>
      </c>
      <c r="B27" s="3" t="s">
        <v>44</v>
      </c>
    </row>
    <row r="28" spans="1:2" x14ac:dyDescent="0.3">
      <c r="A28" s="6" t="s">
        <v>45</v>
      </c>
      <c r="B28" s="3" t="s">
        <v>46</v>
      </c>
    </row>
    <row r="29" spans="1:2" x14ac:dyDescent="0.3">
      <c r="A29" s="6" t="s">
        <v>47</v>
      </c>
      <c r="B29" s="3" t="s">
        <v>48</v>
      </c>
    </row>
    <row r="30" spans="1:2" x14ac:dyDescent="0.3">
      <c r="A30" s="6" t="s">
        <v>49</v>
      </c>
      <c r="B30" s="3" t="s">
        <v>50</v>
      </c>
    </row>
    <row r="31" spans="1:2" x14ac:dyDescent="0.3">
      <c r="A31" s="6" t="s">
        <v>51</v>
      </c>
      <c r="B31" s="3" t="s">
        <v>52</v>
      </c>
    </row>
    <row r="32" spans="1:2" x14ac:dyDescent="0.3">
      <c r="A32" s="6" t="s">
        <v>53</v>
      </c>
      <c r="B32" s="3" t="s">
        <v>54</v>
      </c>
    </row>
    <row r="33" spans="1:2" x14ac:dyDescent="0.3">
      <c r="A33" s="6" t="s">
        <v>55</v>
      </c>
      <c r="B33" s="3" t="s">
        <v>56</v>
      </c>
    </row>
    <row r="34" spans="1:2" x14ac:dyDescent="0.3">
      <c r="A34" s="6" t="s">
        <v>57</v>
      </c>
      <c r="B34" s="3" t="s">
        <v>58</v>
      </c>
    </row>
    <row r="35" spans="1:2" x14ac:dyDescent="0.3">
      <c r="A35" s="6" t="s">
        <v>59</v>
      </c>
      <c r="B35" s="3" t="s">
        <v>60</v>
      </c>
    </row>
    <row r="36" spans="1:2" x14ac:dyDescent="0.3">
      <c r="A36" s="6" t="s">
        <v>61</v>
      </c>
      <c r="B36" s="3" t="s">
        <v>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20" customWidth="1"/>
    <col min="3" max="3" width="32" customWidth="1"/>
    <col min="4" max="4" width="12" customWidth="1"/>
    <col min="5" max="5" width="6" customWidth="1"/>
    <col min="6" max="6" width="18" customWidth="1"/>
    <col min="7" max="7" width="10" customWidth="1"/>
    <col min="8" max="9" width="16" customWidth="1"/>
    <col min="10" max="10" width="14" customWidth="1"/>
    <col min="11" max="11" width="18" customWidth="1"/>
    <col min="12" max="13" width="14" customWidth="1"/>
    <col min="14" max="14" width="12" customWidth="1"/>
    <col min="15" max="15" width="22" customWidth="1"/>
    <col min="16" max="17" width="30" customWidth="1"/>
    <col min="18" max="18" width="14" customWidth="1"/>
    <col min="19" max="19" width="40" customWidth="1"/>
    <col min="20" max="20" width="14" customWidth="1"/>
    <col min="21" max="21" width="10" customWidth="1"/>
    <col min="22" max="22" width="30" customWidth="1"/>
    <col min="23" max="23" width="40" customWidth="1"/>
  </cols>
  <sheetData>
    <row r="1" spans="1:23" x14ac:dyDescent="0.3">
      <c r="A1" s="7" t="s">
        <v>17</v>
      </c>
      <c r="B1" s="7" t="s">
        <v>19</v>
      </c>
      <c r="C1" s="7" t="s">
        <v>21</v>
      </c>
      <c r="D1" s="7" t="s">
        <v>23</v>
      </c>
      <c r="E1" s="7" t="s">
        <v>25</v>
      </c>
      <c r="F1" s="7" t="s">
        <v>27</v>
      </c>
      <c r="G1" s="7" t="s">
        <v>29</v>
      </c>
      <c r="H1" s="7" t="s">
        <v>31</v>
      </c>
      <c r="I1" s="7" t="s">
        <v>33</v>
      </c>
      <c r="J1" s="7" t="s">
        <v>35</v>
      </c>
      <c r="K1" s="7" t="s">
        <v>37</v>
      </c>
      <c r="L1" s="7" t="s">
        <v>39</v>
      </c>
      <c r="M1" s="7" t="s">
        <v>41</v>
      </c>
      <c r="N1" s="7" t="s">
        <v>43</v>
      </c>
      <c r="O1" s="7" t="s">
        <v>45</v>
      </c>
      <c r="P1" s="7" t="s">
        <v>47</v>
      </c>
      <c r="Q1" s="7" t="s">
        <v>49</v>
      </c>
      <c r="R1" s="7" t="s">
        <v>51</v>
      </c>
      <c r="S1" s="7" t="s">
        <v>53</v>
      </c>
      <c r="T1" s="7" t="s">
        <v>55</v>
      </c>
      <c r="U1" s="7" t="s">
        <v>57</v>
      </c>
      <c r="V1" s="7" t="s">
        <v>59</v>
      </c>
      <c r="W1" s="7" t="s">
        <v>61</v>
      </c>
    </row>
    <row r="2" spans="1:23" x14ac:dyDescent="0.3">
      <c r="A2" s="8" t="s">
        <v>63</v>
      </c>
      <c r="B2" s="8" t="s">
        <v>64</v>
      </c>
      <c r="C2" s="8" t="s">
        <v>65</v>
      </c>
      <c r="D2" s="8" t="s">
        <v>66</v>
      </c>
      <c r="E2" s="8">
        <v>4</v>
      </c>
      <c r="F2" s="8" t="s">
        <v>67</v>
      </c>
      <c r="G2" s="8" t="s">
        <v>68</v>
      </c>
      <c r="H2" s="8" t="s">
        <v>69</v>
      </c>
      <c r="I2" s="8" t="s">
        <v>70</v>
      </c>
      <c r="J2" s="8" t="s">
        <v>71</v>
      </c>
      <c r="K2" s="8" t="s">
        <v>72</v>
      </c>
      <c r="L2" s="8" t="s">
        <v>73</v>
      </c>
      <c r="M2" s="8" t="s">
        <v>74</v>
      </c>
      <c r="N2" s="8" t="s">
        <v>75</v>
      </c>
      <c r="O2" s="8" t="s">
        <v>76</v>
      </c>
      <c r="P2" s="8" t="s">
        <v>77</v>
      </c>
      <c r="Q2" s="8" t="s">
        <v>78</v>
      </c>
      <c r="R2" s="8" t="s">
        <v>79</v>
      </c>
      <c r="S2" s="8" t="s">
        <v>80</v>
      </c>
      <c r="T2" s="8" t="b">
        <v>0</v>
      </c>
      <c r="U2" s="8">
        <v>1</v>
      </c>
      <c r="V2" s="8" t="s">
        <v>81</v>
      </c>
      <c r="W2" s="8" t="s">
        <v>82</v>
      </c>
    </row>
  </sheetData>
  <autoFilter ref="A1:W1" xr:uid="{00000000-0009-0000-0000-000001000000}"/>
  <dataValidations count="3">
    <dataValidation type="list" allowBlank="1" sqref="D2:D2000" xr:uid="{00000000-0002-0000-0100-000000000000}">
      <formula1>"new,ready,applied,interviewing,rejected,dead,deferred"</formula1>
    </dataValidation>
    <dataValidation type="list" allowBlank="1" sqref="G2:G2000" xr:uid="{00000000-0002-0000-0100-000001000000}">
      <formula1>"High,Med,Low-Med,Low"</formula1>
    </dataValidation>
    <dataValidation type="list" allowBlank="1" sqref="T2:T2000" xr:uid="{00000000-0002-0000-0100-000002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4.4" x14ac:dyDescent="0.3"/>
  <cols>
    <col min="1" max="1" width="26" customWidth="1"/>
    <col min="2" max="2" width="12" customWidth="1"/>
  </cols>
  <sheetData>
    <row r="1" spans="1:2" ht="16.8" x14ac:dyDescent="0.3">
      <c r="A1" s="9" t="s">
        <v>83</v>
      </c>
    </row>
    <row r="2" spans="1:2" x14ac:dyDescent="0.3">
      <c r="A2" s="8" t="s">
        <v>84</v>
      </c>
    </row>
    <row r="4" spans="1:2" x14ac:dyDescent="0.3">
      <c r="A4" s="3" t="s">
        <v>66</v>
      </c>
      <c r="B4" s="3">
        <f>COUNTIF(Tracker!$D$2:$D$2000,"new")</f>
        <v>1</v>
      </c>
    </row>
    <row r="5" spans="1:2" x14ac:dyDescent="0.3">
      <c r="A5" s="6" t="s">
        <v>85</v>
      </c>
      <c r="B5" s="3">
        <f>COUNTIF(Tracker!$D$2:$D$2000,"ready")</f>
        <v>0</v>
      </c>
    </row>
    <row r="6" spans="1:2" x14ac:dyDescent="0.3">
      <c r="A6" s="3" t="s">
        <v>86</v>
      </c>
      <c r="B6" s="3">
        <f>COUNTIF(Tracker!$D$2:$D$2000,"applied")</f>
        <v>0</v>
      </c>
    </row>
    <row r="7" spans="1:2" x14ac:dyDescent="0.3">
      <c r="A7" s="6" t="s">
        <v>87</v>
      </c>
      <c r="B7" s="3">
        <f>COUNTIF(Tracker!$D$2:$D$2000,"interviewing")</f>
        <v>0</v>
      </c>
    </row>
    <row r="8" spans="1:2" x14ac:dyDescent="0.3">
      <c r="A8" s="3" t="s">
        <v>88</v>
      </c>
      <c r="B8" s="3">
        <f>COUNTIF(Tracker!$D$2:$D$2000,"rejected")</f>
        <v>0</v>
      </c>
    </row>
    <row r="9" spans="1:2" x14ac:dyDescent="0.3">
      <c r="A9" s="3" t="s">
        <v>89</v>
      </c>
      <c r="B9" s="3">
        <f>COUNTIF(Tracker!$D$2:$D$2000,"dead")</f>
        <v>0</v>
      </c>
    </row>
    <row r="10" spans="1:2" x14ac:dyDescent="0.3">
      <c r="A10" s="3" t="s">
        <v>90</v>
      </c>
      <c r="B10" s="3">
        <f>COUNTIF(Tracker!$D$2:$D$2000,"deferred")</f>
        <v>0</v>
      </c>
    </row>
    <row r="11" spans="1:2" x14ac:dyDescent="0.3">
      <c r="A11" s="6" t="s">
        <v>91</v>
      </c>
      <c r="B11" s="3">
        <f>COUNTA(Tracker!$A$2:$A$2000)</f>
        <v>1</v>
      </c>
    </row>
    <row r="13" spans="1:2" x14ac:dyDescent="0.3">
      <c r="A13" s="6" t="s">
        <v>92</v>
      </c>
      <c r="B13" s="3">
        <f>COUNTIFS(Tracker!$D$2:$D$2000,"new",Tracker!$T$2:$T$2000,FALSE)</f>
        <v>1</v>
      </c>
    </row>
    <row r="14" spans="1:2" x14ac:dyDescent="0.3">
      <c r="A14" s="6" t="s">
        <v>93</v>
      </c>
      <c r="B14" s="3">
        <f>COUNTIFS(Tracker!$D$2:$D$2000,"ready",Tracker!$T$2:$T$2000,TRUE)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Tracker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Wurth</cp:lastModifiedBy>
  <dcterms:created xsi:type="dcterms:W3CDTF">2026-08-11T13:11:17Z</dcterms:created>
  <dcterms:modified xsi:type="dcterms:W3CDTF">2026-08-11T13:11:33Z</dcterms:modified>
</cp:coreProperties>
</file>